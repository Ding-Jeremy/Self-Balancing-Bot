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Documents\Repositories\Self-Balancing-Bot\A_Documentation\Rapport\assets\annexes\"/>
    </mc:Choice>
  </mc:AlternateContent>
  <xr:revisionPtr revIDLastSave="0" documentId="13_ncr:1_{77D0B760-793D-4427-A7F1-2731C492B411}" xr6:coauthVersionLast="47" xr6:coauthVersionMax="47" xr10:uidLastSave="{00000000-0000-0000-0000-000000000000}"/>
  <bookViews>
    <workbookView xWindow="-108" yWindow="-108" windowWidth="23256" windowHeight="12456" xr2:uid="{9AF9B6FE-E1EB-492A-BAD0-33829DC36424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23" i="1"/>
  <c r="J22" i="1"/>
  <c r="J21" i="1"/>
  <c r="K23" i="1" s="1"/>
  <c r="K24" i="1" s="1"/>
  <c r="J19" i="1"/>
  <c r="J20" i="1"/>
  <c r="J3" i="1"/>
  <c r="J4" i="1"/>
  <c r="J5" i="1"/>
  <c r="J6" i="1"/>
  <c r="J7" i="1"/>
  <c r="J8" i="1"/>
  <c r="J9" i="1"/>
  <c r="J10" i="1"/>
  <c r="J11" i="1"/>
  <c r="J12" i="1"/>
  <c r="J13" i="1"/>
  <c r="J14" i="1"/>
  <c r="K20" i="1" s="1"/>
  <c r="J15" i="1"/>
  <c r="J17" i="1"/>
  <c r="J18" i="1"/>
  <c r="J2" i="1"/>
</calcChain>
</file>

<file path=xl/sharedStrings.xml><?xml version="1.0" encoding="utf-8"?>
<sst xmlns="http://schemas.openxmlformats.org/spreadsheetml/2006/main" count="166" uniqueCount="103">
  <si>
    <t>Reference</t>
  </si>
  <si>
    <t>Value</t>
  </si>
  <si>
    <t>Footprint</t>
  </si>
  <si>
    <t>Manufacturer</t>
  </si>
  <si>
    <t>MPN</t>
  </si>
  <si>
    <t>Supplier</t>
  </si>
  <si>
    <t>SPN</t>
  </si>
  <si>
    <t>Qty</t>
  </si>
  <si>
    <t>Price/Pce</t>
  </si>
  <si>
    <t>Price</t>
  </si>
  <si>
    <t>Type/Total</t>
  </si>
  <si>
    <t>C1,C2</t>
  </si>
  <si>
    <t>100uF</t>
  </si>
  <si>
    <t>SMD 6.3</t>
  </si>
  <si>
    <t>Nichicon</t>
  </si>
  <si>
    <t>UWT1V101MCL1GS</t>
  </si>
  <si>
    <t>Digikey</t>
  </si>
  <si>
    <t>493-2203-1-ND</t>
  </si>
  <si>
    <t>PCB</t>
  </si>
  <si>
    <t>J2,J3</t>
  </si>
  <si>
    <t>Conn_01x04_Pin</t>
  </si>
  <si>
    <t>Pin Header 2.54mm</t>
  </si>
  <si>
    <t>Samtec Inc.</t>
  </si>
  <si>
    <t>TS-108-G-A</t>
  </si>
  <si>
    <t>612-TS-108-G-A-ND</t>
  </si>
  <si>
    <t>J4</t>
  </si>
  <si>
    <t>Screw_Terminal_01x02</t>
  </si>
  <si>
    <t>Screw Terminal 5mm</t>
  </si>
  <si>
    <t>Same Sky (Formerly CUI Devices)</t>
  </si>
  <si>
    <t>TB002-500-02BE</t>
  </si>
  <si>
    <t>102-6145-ND</t>
  </si>
  <si>
    <t>R1</t>
  </si>
  <si>
    <t>1k</t>
  </si>
  <si>
    <t>YAGEO</t>
  </si>
  <si>
    <t>RC1206FR-071KL</t>
  </si>
  <si>
    <t>311-1.00KFRCT-ND</t>
  </si>
  <si>
    <t>R3</t>
  </si>
  <si>
    <t>51k</t>
  </si>
  <si>
    <t>RC1206JR-0751KL</t>
  </si>
  <si>
    <t>311-51KERCT-ND</t>
  </si>
  <si>
    <t>R4</t>
  </si>
  <si>
    <t>10k</t>
  </si>
  <si>
    <t>RC1206FR-0710KL</t>
  </si>
  <si>
    <t>311-10.0KFRCT-ND</t>
  </si>
  <si>
    <t>SW1</t>
  </si>
  <si>
    <t>SW_SPDT</t>
  </si>
  <si>
    <t>-</t>
  </si>
  <si>
    <t>C&amp;K</t>
  </si>
  <si>
    <t>OS102011MS2QN1</t>
  </si>
  <si>
    <t>CKN9565-ND</t>
  </si>
  <si>
    <t>U1</t>
  </si>
  <si>
    <t>~</t>
  </si>
  <si>
    <t>Joy-It</t>
  </si>
  <si>
    <t>MPU6050</t>
  </si>
  <si>
    <t>Conrad</t>
  </si>
  <si>
    <t>2136256 - UP</t>
  </si>
  <si>
    <t>U2</t>
  </si>
  <si>
    <t>Espressif</t>
  </si>
  <si>
    <t>ESP32-DEV-30P</t>
  </si>
  <si>
    <t>Distrelec</t>
  </si>
  <si>
    <t>304-89-812</t>
  </si>
  <si>
    <t>U3,U4</t>
  </si>
  <si>
    <t>BigTechTree</t>
  </si>
  <si>
    <t>TMC2226</t>
  </si>
  <si>
    <t>3D Jake</t>
  </si>
  <si>
    <t> BIQU-1020000203</t>
  </si>
  <si>
    <t>U5</t>
  </si>
  <si>
    <t>TSR1-2450E</t>
  </si>
  <si>
    <t>Traco Power</t>
  </si>
  <si>
    <t>TSR 1-2450E</t>
  </si>
  <si>
    <t>302-25-003</t>
  </si>
  <si>
    <t>JLCPCB</t>
  </si>
  <si>
    <t>Vis tête cylindrique</t>
  </si>
  <si>
    <t>(MakeLab)</t>
  </si>
  <si>
    <t>M3x6mm</t>
  </si>
  <si>
    <t>M3x12mm</t>
  </si>
  <si>
    <t>M3x8mm</t>
  </si>
  <si>
    <t>M3x10mm</t>
  </si>
  <si>
    <t>M3x5mm</t>
  </si>
  <si>
    <t>1</t>
  </si>
  <si>
    <t>2</t>
  </si>
  <si>
    <t>3</t>
  </si>
  <si>
    <t>4</t>
  </si>
  <si>
    <t>5</t>
  </si>
  <si>
    <t>Ecrou M3</t>
  </si>
  <si>
    <t>Atelier Mécanique</t>
  </si>
  <si>
    <t>Coupleur</t>
  </si>
  <si>
    <t>Aliexpress</t>
  </si>
  <si>
    <t>Wenzhou Wancheng Machinery Store</t>
  </si>
  <si>
    <t>10</t>
  </si>
  <si>
    <t>Batterie LiPo 4s</t>
  </si>
  <si>
    <t>SwayTronic</t>
  </si>
  <si>
    <t>Câble XT60</t>
  </si>
  <si>
    <t>7640159361831</t>
  </si>
  <si>
    <t>7640182620691</t>
  </si>
  <si>
    <t>Moteur pas à pas</t>
  </si>
  <si>
    <t>NEMA17-04</t>
  </si>
  <si>
    <t>Brack</t>
  </si>
  <si>
    <t>126042</t>
  </si>
  <si>
    <t>MECA</t>
  </si>
  <si>
    <t>ALIM+MOT</t>
  </si>
  <si>
    <t>Total</t>
  </si>
  <si>
    <t>Colonnette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</si>
</sst>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CHF&quot;\ #,##0.00;[Red]&quot;CHF&quot;\ \-#,##0.00"/>
    <numFmt numFmtId="184" formatCode="0.00000000000000000E+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10" xfId="0" applyFont="1" applyBorder="1"/>
    <xf numFmtId="0" fontId="19" fillId="0" borderId="0" xfId="0" applyFont="1"/>
    <xf numFmtId="0" fontId="19" fillId="33" borderId="10" xfId="0" applyFont="1" applyFill="1" applyBorder="1"/>
    <xf numFmtId="8" fontId="19" fillId="33" borderId="10" xfId="0" applyNumberFormat="1" applyFont="1" applyFill="1" applyBorder="1"/>
    <xf numFmtId="0" fontId="19" fillId="33" borderId="11" xfId="0" applyFont="1" applyFill="1" applyBorder="1" applyAlignment="1">
      <alignment horizontal="center" vertical="center" textRotation="255"/>
    </xf>
    <xf numFmtId="0" fontId="19" fillId="33" borderId="12" xfId="0" applyFont="1" applyFill="1" applyBorder="1" applyAlignment="1">
      <alignment horizontal="center" vertical="center" textRotation="255"/>
    </xf>
    <xf numFmtId="0" fontId="19" fillId="33" borderId="13" xfId="0" applyFont="1" applyFill="1" applyBorder="1" applyAlignment="1">
      <alignment horizontal="center" vertical="center" textRotation="255"/>
    </xf>
    <xf numFmtId="0" fontId="19" fillId="34" borderId="10" xfId="0" quotePrefix="1" applyFont="1" applyFill="1" applyBorder="1"/>
    <xf numFmtId="0" fontId="19" fillId="34" borderId="10" xfId="0" applyFont="1" applyFill="1" applyBorder="1"/>
    <xf numFmtId="8" fontId="19" fillId="34" borderId="10" xfId="0" applyNumberFormat="1" applyFont="1" applyFill="1" applyBorder="1"/>
    <xf numFmtId="0" fontId="19" fillId="35" borderId="10" xfId="0" applyFont="1" applyFill="1" applyBorder="1"/>
    <xf numFmtId="184" fontId="19" fillId="35" borderId="10" xfId="0" quotePrefix="1" applyNumberFormat="1" applyFont="1" applyFill="1" applyBorder="1"/>
    <xf numFmtId="8" fontId="19" fillId="35" borderId="10" xfId="0" applyNumberFormat="1" applyFont="1" applyFill="1" applyBorder="1"/>
    <xf numFmtId="0" fontId="19" fillId="35" borderId="10" xfId="0" quotePrefix="1" applyFont="1" applyFill="1" applyBorder="1"/>
    <xf numFmtId="0" fontId="19" fillId="34" borderId="10" xfId="0" applyFont="1" applyFill="1" applyBorder="1" applyAlignment="1">
      <alignment horizontal="center" vertical="center" textRotation="255"/>
    </xf>
    <xf numFmtId="8" fontId="19" fillId="35" borderId="11" xfId="0" applyNumberFormat="1" applyFont="1" applyFill="1" applyBorder="1" applyAlignment="1">
      <alignment horizontal="center" vertical="center"/>
    </xf>
    <xf numFmtId="8" fontId="19" fillId="35" borderId="13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8" fontId="19" fillId="0" borderId="10" xfId="0" applyNumberFormat="1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B278-CA9F-41CF-928A-21BFBDC569B1}">
  <sheetPr>
    <pageSetUpPr fitToPage="1"/>
  </sheetPr>
  <dimension ref="A1:K24"/>
  <sheetViews>
    <sheetView tabSelected="1" zoomScale="115" zoomScaleNormal="115" workbookViewId="0">
      <selection activeCell="F6" sqref="F6"/>
    </sheetView>
  </sheetViews>
  <sheetFormatPr defaultRowHeight="12" x14ac:dyDescent="0.25"/>
  <cols>
    <col min="1" max="1" width="8.109375" style="2" bestFit="1" customWidth="1"/>
    <col min="2" max="2" width="16.109375" style="2" bestFit="1" customWidth="1"/>
    <col min="3" max="3" width="15.109375" style="2" bestFit="1" customWidth="1"/>
    <col min="4" max="4" width="26.33203125" style="2" bestFit="1" customWidth="1"/>
    <col min="5" max="5" width="14.21875" style="2" bestFit="1" customWidth="1"/>
    <col min="6" max="6" width="13.109375" style="2" bestFit="1" customWidth="1"/>
    <col min="7" max="7" width="19" style="2" bestFit="1" customWidth="1"/>
    <col min="8" max="8" width="3.88671875" style="2" bestFit="1" customWidth="1"/>
    <col min="9" max="10" width="8.21875" style="2" bestFit="1" customWidth="1"/>
    <col min="11" max="11" width="8.77734375" style="2" bestFit="1" customWidth="1"/>
    <col min="12" max="16384" width="8.8867187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4">
        <v>0.34</v>
      </c>
      <c r="J2" s="4">
        <f>H2*I2</f>
        <v>0.68</v>
      </c>
      <c r="K2" s="5" t="s">
        <v>18</v>
      </c>
    </row>
    <row r="3" spans="1:11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16</v>
      </c>
      <c r="G3" s="3" t="s">
        <v>24</v>
      </c>
      <c r="H3" s="3">
        <v>2</v>
      </c>
      <c r="I3" s="4">
        <v>2.46</v>
      </c>
      <c r="J3" s="4">
        <f t="shared" ref="J3:J18" si="0">H3*I3</f>
        <v>4.92</v>
      </c>
      <c r="K3" s="6"/>
    </row>
    <row r="4" spans="1:11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16</v>
      </c>
      <c r="G4" s="3" t="s">
        <v>30</v>
      </c>
      <c r="H4" s="3">
        <v>1</v>
      </c>
      <c r="I4" s="4">
        <v>0.26</v>
      </c>
      <c r="J4" s="4">
        <f t="shared" si="0"/>
        <v>0.26</v>
      </c>
      <c r="K4" s="6"/>
    </row>
    <row r="5" spans="1:11" x14ac:dyDescent="0.25">
      <c r="A5" s="3" t="s">
        <v>31</v>
      </c>
      <c r="B5" s="3" t="s">
        <v>32</v>
      </c>
      <c r="C5" s="3">
        <v>1206</v>
      </c>
      <c r="D5" s="3" t="s">
        <v>33</v>
      </c>
      <c r="E5" s="3" t="s">
        <v>34</v>
      </c>
      <c r="F5" s="3" t="s">
        <v>16</v>
      </c>
      <c r="G5" s="3" t="s">
        <v>35</v>
      </c>
      <c r="H5" s="3">
        <v>1</v>
      </c>
      <c r="I5" s="4">
        <v>0.08</v>
      </c>
      <c r="J5" s="4">
        <f t="shared" si="0"/>
        <v>0.08</v>
      </c>
      <c r="K5" s="6"/>
    </row>
    <row r="6" spans="1:11" x14ac:dyDescent="0.25">
      <c r="A6" s="3" t="s">
        <v>36</v>
      </c>
      <c r="B6" s="3" t="s">
        <v>37</v>
      </c>
      <c r="C6" s="3">
        <v>1206</v>
      </c>
      <c r="D6" s="3" t="s">
        <v>33</v>
      </c>
      <c r="E6" s="3" t="s">
        <v>38</v>
      </c>
      <c r="F6" s="3" t="s">
        <v>16</v>
      </c>
      <c r="G6" s="3" t="s">
        <v>39</v>
      </c>
      <c r="H6" s="3">
        <v>1</v>
      </c>
      <c r="I6" s="4">
        <v>0.08</v>
      </c>
      <c r="J6" s="4">
        <f t="shared" si="0"/>
        <v>0.08</v>
      </c>
      <c r="K6" s="6"/>
    </row>
    <row r="7" spans="1:11" x14ac:dyDescent="0.25">
      <c r="A7" s="3" t="s">
        <v>40</v>
      </c>
      <c r="B7" s="3" t="s">
        <v>41</v>
      </c>
      <c r="C7" s="3">
        <v>1206</v>
      </c>
      <c r="D7" s="3" t="s">
        <v>33</v>
      </c>
      <c r="E7" s="3" t="s">
        <v>42</v>
      </c>
      <c r="F7" s="3" t="s">
        <v>16</v>
      </c>
      <c r="G7" s="3" t="s">
        <v>43</v>
      </c>
      <c r="H7" s="3">
        <v>1</v>
      </c>
      <c r="I7" s="4">
        <v>0.08</v>
      </c>
      <c r="J7" s="4">
        <f t="shared" si="0"/>
        <v>0.08</v>
      </c>
      <c r="K7" s="6"/>
    </row>
    <row r="8" spans="1:11" x14ac:dyDescent="0.25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16</v>
      </c>
      <c r="G8" s="3" t="s">
        <v>49</v>
      </c>
      <c r="H8" s="3">
        <v>1</v>
      </c>
      <c r="I8" s="4">
        <v>0.65</v>
      </c>
      <c r="J8" s="4">
        <f t="shared" si="0"/>
        <v>0.65</v>
      </c>
      <c r="K8" s="6"/>
    </row>
    <row r="9" spans="1:11" x14ac:dyDescent="0.25">
      <c r="A9" s="3" t="s">
        <v>50</v>
      </c>
      <c r="B9" s="3" t="s">
        <v>51</v>
      </c>
      <c r="C9" s="3" t="s">
        <v>46</v>
      </c>
      <c r="D9" s="3" t="s">
        <v>52</v>
      </c>
      <c r="E9" s="3" t="s">
        <v>53</v>
      </c>
      <c r="F9" s="3" t="s">
        <v>54</v>
      </c>
      <c r="G9" s="3" t="s">
        <v>55</v>
      </c>
      <c r="H9" s="3">
        <v>1</v>
      </c>
      <c r="I9" s="4">
        <v>4.53</v>
      </c>
      <c r="J9" s="4">
        <f t="shared" si="0"/>
        <v>4.53</v>
      </c>
      <c r="K9" s="6"/>
    </row>
    <row r="10" spans="1:11" x14ac:dyDescent="0.25">
      <c r="A10" s="3" t="s">
        <v>56</v>
      </c>
      <c r="B10" s="3" t="s">
        <v>51</v>
      </c>
      <c r="C10" s="3" t="s">
        <v>46</v>
      </c>
      <c r="D10" s="3" t="s">
        <v>57</v>
      </c>
      <c r="E10" s="3" t="s">
        <v>58</v>
      </c>
      <c r="F10" s="3" t="s">
        <v>59</v>
      </c>
      <c r="G10" s="3" t="s">
        <v>60</v>
      </c>
      <c r="H10" s="3">
        <v>1</v>
      </c>
      <c r="I10" s="4">
        <v>16.93</v>
      </c>
      <c r="J10" s="4">
        <f t="shared" si="0"/>
        <v>16.93</v>
      </c>
      <c r="K10" s="6"/>
    </row>
    <row r="11" spans="1:11" x14ac:dyDescent="0.25">
      <c r="A11" s="3" t="s">
        <v>61</v>
      </c>
      <c r="B11" s="3" t="s">
        <v>51</v>
      </c>
      <c r="C11" s="3" t="s">
        <v>46</v>
      </c>
      <c r="D11" s="3" t="s">
        <v>62</v>
      </c>
      <c r="E11" s="3" t="s">
        <v>63</v>
      </c>
      <c r="F11" s="3" t="s">
        <v>64</v>
      </c>
      <c r="G11" s="3" t="s">
        <v>65</v>
      </c>
      <c r="H11" s="3">
        <v>2</v>
      </c>
      <c r="I11" s="4">
        <v>7.7</v>
      </c>
      <c r="J11" s="4">
        <f t="shared" si="0"/>
        <v>15.4</v>
      </c>
      <c r="K11" s="6"/>
    </row>
    <row r="12" spans="1:11" x14ac:dyDescent="0.25">
      <c r="A12" s="3" t="s">
        <v>66</v>
      </c>
      <c r="B12" s="3" t="s">
        <v>67</v>
      </c>
      <c r="C12" s="3" t="s">
        <v>46</v>
      </c>
      <c r="D12" s="3" t="s">
        <v>68</v>
      </c>
      <c r="E12" s="3" t="s">
        <v>69</v>
      </c>
      <c r="F12" s="3" t="s">
        <v>59</v>
      </c>
      <c r="G12" s="3" t="s">
        <v>70</v>
      </c>
      <c r="H12" s="3">
        <v>1</v>
      </c>
      <c r="I12" s="4">
        <v>4.2</v>
      </c>
      <c r="J12" s="4">
        <f t="shared" si="0"/>
        <v>4.2</v>
      </c>
      <c r="K12" s="7"/>
    </row>
    <row r="13" spans="1:11" x14ac:dyDescent="0.25">
      <c r="A13" s="3" t="s">
        <v>46</v>
      </c>
      <c r="B13" s="3" t="s">
        <v>18</v>
      </c>
      <c r="C13" s="3" t="s">
        <v>46</v>
      </c>
      <c r="D13" s="3" t="s">
        <v>71</v>
      </c>
      <c r="E13" s="3" t="s">
        <v>46</v>
      </c>
      <c r="F13" s="3" t="s">
        <v>71</v>
      </c>
      <c r="G13" s="3" t="s">
        <v>46</v>
      </c>
      <c r="H13" s="3">
        <v>5</v>
      </c>
      <c r="I13" s="4">
        <v>1.4</v>
      </c>
      <c r="J13" s="4">
        <f t="shared" si="0"/>
        <v>7</v>
      </c>
      <c r="K13" s="4">
        <v>52.35</v>
      </c>
    </row>
    <row r="14" spans="1:11" x14ac:dyDescent="0.25">
      <c r="A14" s="8" t="s">
        <v>81</v>
      </c>
      <c r="B14" s="9" t="s">
        <v>72</v>
      </c>
      <c r="C14" s="8" t="s">
        <v>77</v>
      </c>
      <c r="D14" s="8" t="s">
        <v>46</v>
      </c>
      <c r="E14" s="8" t="s">
        <v>46</v>
      </c>
      <c r="F14" s="8" t="s">
        <v>73</v>
      </c>
      <c r="G14" s="8" t="s">
        <v>46</v>
      </c>
      <c r="H14" s="9">
        <v>12</v>
      </c>
      <c r="I14" s="10"/>
      <c r="J14" s="10">
        <f t="shared" si="0"/>
        <v>0</v>
      </c>
      <c r="K14" s="15" t="s">
        <v>99</v>
      </c>
    </row>
    <row r="15" spans="1:11" x14ac:dyDescent="0.25">
      <c r="A15" s="8" t="s">
        <v>83</v>
      </c>
      <c r="B15" s="9" t="s">
        <v>72</v>
      </c>
      <c r="C15" s="8" t="s">
        <v>75</v>
      </c>
      <c r="D15" s="8" t="s">
        <v>46</v>
      </c>
      <c r="E15" s="8" t="s">
        <v>46</v>
      </c>
      <c r="F15" s="8" t="s">
        <v>73</v>
      </c>
      <c r="G15" s="8" t="s">
        <v>46</v>
      </c>
      <c r="H15" s="9">
        <v>4</v>
      </c>
      <c r="I15" s="10"/>
      <c r="J15" s="10">
        <f t="shared" si="0"/>
        <v>0</v>
      </c>
      <c r="K15" s="15"/>
    </row>
    <row r="16" spans="1:11" x14ac:dyDescent="0.25">
      <c r="A16" s="8" t="s">
        <v>46</v>
      </c>
      <c r="B16" s="9" t="s">
        <v>102</v>
      </c>
      <c r="C16" s="8" t="s">
        <v>74</v>
      </c>
      <c r="D16" s="8" t="s">
        <v>46</v>
      </c>
      <c r="E16" s="8" t="s">
        <v>46</v>
      </c>
      <c r="F16" s="8" t="s">
        <v>85</v>
      </c>
      <c r="G16" s="8" t="s">
        <v>46</v>
      </c>
      <c r="H16" s="9">
        <v>4</v>
      </c>
      <c r="I16" s="10"/>
      <c r="J16" s="10">
        <f t="shared" si="0"/>
        <v>0</v>
      </c>
      <c r="K16" s="15"/>
    </row>
    <row r="17" spans="1:11" x14ac:dyDescent="0.25">
      <c r="A17" s="8" t="s">
        <v>80</v>
      </c>
      <c r="B17" s="9" t="s">
        <v>72</v>
      </c>
      <c r="C17" s="8" t="s">
        <v>76</v>
      </c>
      <c r="D17" s="8" t="s">
        <v>46</v>
      </c>
      <c r="E17" s="8" t="s">
        <v>46</v>
      </c>
      <c r="F17" s="8" t="s">
        <v>73</v>
      </c>
      <c r="G17" s="8" t="s">
        <v>46</v>
      </c>
      <c r="H17" s="9">
        <v>16</v>
      </c>
      <c r="I17" s="10"/>
      <c r="J17" s="10">
        <f t="shared" si="0"/>
        <v>0</v>
      </c>
      <c r="K17" s="15"/>
    </row>
    <row r="18" spans="1:11" x14ac:dyDescent="0.25">
      <c r="A18" s="8" t="s">
        <v>79</v>
      </c>
      <c r="B18" s="9" t="s">
        <v>72</v>
      </c>
      <c r="C18" s="8" t="s">
        <v>78</v>
      </c>
      <c r="D18" s="8" t="s">
        <v>46</v>
      </c>
      <c r="E18" s="8" t="s">
        <v>46</v>
      </c>
      <c r="F18" s="8" t="s">
        <v>73</v>
      </c>
      <c r="G18" s="8" t="s">
        <v>46</v>
      </c>
      <c r="H18" s="9">
        <v>4</v>
      </c>
      <c r="I18" s="10"/>
      <c r="J18" s="10">
        <f t="shared" si="0"/>
        <v>0</v>
      </c>
      <c r="K18" s="15"/>
    </row>
    <row r="19" spans="1:11" x14ac:dyDescent="0.25">
      <c r="A19" s="8" t="s">
        <v>89</v>
      </c>
      <c r="B19" s="9" t="s">
        <v>86</v>
      </c>
      <c r="C19" s="8" t="s">
        <v>46</v>
      </c>
      <c r="D19" s="8" t="s">
        <v>88</v>
      </c>
      <c r="E19" s="8" t="s">
        <v>46</v>
      </c>
      <c r="F19" s="8" t="s">
        <v>87</v>
      </c>
      <c r="G19" s="8" t="s">
        <v>46</v>
      </c>
      <c r="H19" s="9">
        <v>2</v>
      </c>
      <c r="I19" s="10">
        <v>2.57</v>
      </c>
      <c r="J19" s="10">
        <f t="shared" ref="J19" si="1">H19*I19</f>
        <v>5.14</v>
      </c>
      <c r="K19" s="15"/>
    </row>
    <row r="20" spans="1:11" x14ac:dyDescent="0.25">
      <c r="A20" s="8" t="s">
        <v>82</v>
      </c>
      <c r="B20" s="9" t="s">
        <v>84</v>
      </c>
      <c r="C20" s="8" t="s">
        <v>46</v>
      </c>
      <c r="D20" s="8" t="s">
        <v>46</v>
      </c>
      <c r="E20" s="8" t="s">
        <v>46</v>
      </c>
      <c r="F20" s="8" t="s">
        <v>85</v>
      </c>
      <c r="G20" s="8" t="s">
        <v>46</v>
      </c>
      <c r="H20" s="9">
        <v>4</v>
      </c>
      <c r="I20" s="10"/>
      <c r="J20" s="10">
        <f t="shared" ref="J20:J21" si="2">H20*I20</f>
        <v>0</v>
      </c>
      <c r="K20" s="10">
        <f>SUM(J14:J20)</f>
        <v>5.14</v>
      </c>
    </row>
    <row r="21" spans="1:11" x14ac:dyDescent="0.25">
      <c r="A21" s="11" t="s">
        <v>46</v>
      </c>
      <c r="B21" s="11" t="s">
        <v>90</v>
      </c>
      <c r="C21" s="11" t="s">
        <v>46</v>
      </c>
      <c r="D21" s="11" t="s">
        <v>91</v>
      </c>
      <c r="E21" s="11" t="s">
        <v>46</v>
      </c>
      <c r="F21" s="11" t="s">
        <v>91</v>
      </c>
      <c r="G21" s="12" t="s">
        <v>94</v>
      </c>
      <c r="H21" s="11">
        <v>1</v>
      </c>
      <c r="I21" s="13">
        <v>31.25</v>
      </c>
      <c r="J21" s="13">
        <f t="shared" si="2"/>
        <v>31.25</v>
      </c>
      <c r="K21" s="16" t="s">
        <v>100</v>
      </c>
    </row>
    <row r="22" spans="1:11" x14ac:dyDescent="0.25">
      <c r="A22" s="11" t="s">
        <v>46</v>
      </c>
      <c r="B22" s="11" t="s">
        <v>92</v>
      </c>
      <c r="C22" s="11" t="s">
        <v>46</v>
      </c>
      <c r="D22" s="11" t="s">
        <v>91</v>
      </c>
      <c r="E22" s="11" t="s">
        <v>46</v>
      </c>
      <c r="F22" s="11" t="s">
        <v>91</v>
      </c>
      <c r="G22" s="12" t="s">
        <v>93</v>
      </c>
      <c r="H22" s="11">
        <v>1</v>
      </c>
      <c r="I22" s="13">
        <v>5.3</v>
      </c>
      <c r="J22" s="13">
        <f t="shared" ref="J22" si="3">H22*I22</f>
        <v>5.3</v>
      </c>
      <c r="K22" s="17"/>
    </row>
    <row r="23" spans="1:11" x14ac:dyDescent="0.25">
      <c r="A23" s="11" t="s">
        <v>46</v>
      </c>
      <c r="B23" s="11" t="s">
        <v>95</v>
      </c>
      <c r="C23" s="11" t="s">
        <v>96</v>
      </c>
      <c r="D23" s="14" t="s">
        <v>46</v>
      </c>
      <c r="E23" s="14" t="s">
        <v>46</v>
      </c>
      <c r="F23" s="11" t="s">
        <v>97</v>
      </c>
      <c r="G23" s="12" t="s">
        <v>98</v>
      </c>
      <c r="H23" s="11">
        <v>1</v>
      </c>
      <c r="I23" s="13">
        <v>15.95</v>
      </c>
      <c r="J23" s="13">
        <f t="shared" ref="J23" si="4">H23*I23</f>
        <v>15.95</v>
      </c>
      <c r="K23" s="13">
        <f>SUM(J21:J23)</f>
        <v>52.5</v>
      </c>
    </row>
    <row r="24" spans="1:11" ht="22.2" customHeight="1" x14ac:dyDescent="0.25">
      <c r="A24" s="18" t="s">
        <v>101</v>
      </c>
      <c r="B24" s="19"/>
      <c r="C24" s="19"/>
      <c r="D24" s="19"/>
      <c r="E24" s="19"/>
      <c r="F24" s="19"/>
      <c r="G24" s="19"/>
      <c r="H24" s="19"/>
      <c r="I24" s="19"/>
      <c r="J24" s="20"/>
      <c r="K24" s="21">
        <f>SUM(K23,K20,K13)</f>
        <v>109.99000000000001</v>
      </c>
    </row>
  </sheetData>
  <mergeCells count="4">
    <mergeCell ref="K2:K12"/>
    <mergeCell ref="K14:K19"/>
    <mergeCell ref="K21:K22"/>
    <mergeCell ref="A24:J24"/>
  </mergeCells>
  <pageMargins left="0.25" right="0.25" top="0.75" bottom="0.75" header="0.3" footer="0.3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Jérémy Ding</cp:lastModifiedBy>
  <cp:lastPrinted>2026-07-22T14:41:03Z</cp:lastPrinted>
  <dcterms:created xsi:type="dcterms:W3CDTF">2026-07-07T09:26:22Z</dcterms:created>
  <dcterms:modified xsi:type="dcterms:W3CDTF">2026-07-22T14:41:09Z</dcterms:modified>
</cp:coreProperties>
</file>